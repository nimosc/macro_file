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45" yWindow="1080" windowWidth="18765" windowHeight="10290" firstSheet="3" activeTab="9"/>
  </bookViews>
  <sheets>
    <sheet name="DatexParameters" sheetId="1" r:id="rId1"/>
    <sheet name="גיליון2" sheetId="2" state="hidden" r:id="rId2"/>
    <sheet name="גיליון3" sheetId="3" state="hidden" r:id="rId3"/>
    <sheet name="run" sheetId="4" r:id="rId4"/>
    <sheet name="tcd_report" sheetId="5" r:id="rId5"/>
    <sheet name="datex_report" sheetId="6" r:id="rId6"/>
    <sheet name="cerox_report" sheetId="7" r:id="rId7"/>
    <sheet name="marge_output_files" sheetId="8" r:id="rId8"/>
    <sheet name="mission_list" sheetId="9" r:id="rId9"/>
    <sheet name="Run Sub" sheetId="10" r:id="rId10"/>
  </sheets>
  <functionGroups/>
  <calcPr calcId="125725" concurrentCalc="0"/>
</workbook>
</file>

<file path=xl/calcChain.xml><?xml version="1.0" encoding="utf-8"?>
<calcChain xmlns="http://schemas.openxmlformats.org/spreadsheetml/2006/main">
  <c r="J27" i="4"/>
  <c r="J25"/>
  <c r="J26"/>
  <c r="J24"/>
  <c r="H28"/>
  <c r="D28"/>
  <c r="M28"/>
</calcChain>
</file>

<file path=xl/sharedStrings.xml><?xml version="1.0" encoding="utf-8"?>
<sst xmlns="http://schemas.openxmlformats.org/spreadsheetml/2006/main" count="1092" uniqueCount="358">
  <si>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</si>
  <si>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</si>
  <si>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</si>
  <si>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</si>
  <si>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</si>
  <si>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</si>
  <si>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</si>
  <si>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</si>
  <si>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</si>
  <si>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</si>
  <si>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</si>
  <si>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</si>
  <si>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</si>
  <si>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</si>
  <si>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</si>
  <si>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</si>
  <si>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</si>
  <si>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</si>
  <si>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</si>
  <si>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</si>
  <si>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</si>
  <si>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</si>
  <si>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</si>
  <si>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</si>
  <si>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</si>
  <si>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</si>
  <si>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</si>
  <si>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</si>
  <si>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</si>
  <si>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</si>
  <si>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</si>
  <si>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</si>
  <si>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</si>
  <si>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</si>
  <si>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</si>
  <si>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</si>
  <si>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</si>
  <si>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</si>
  <si>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</si>
  <si>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</si>
  <si>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</si>
  <si>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</si>
  <si>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</si>
  <si>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</si>
  <si>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</si>
  <si>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</si>
  <si>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</si>
  <si>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</si>
  <si>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</si>
  <si>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</si>
  <si>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</si>
  <si>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</si>
  <si>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</si>
  <si>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</si>
  <si>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</si>
  <si>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</si>
  <si>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</si>
  <si>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</si>
  <si>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</si>
  <si>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</si>
  <si>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</si>
  <si>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</si>
  <si>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</si>
  <si>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</si>
  <si>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</si>
  <si>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</si>
  <si>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</si>
  <si>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</si>
  <si>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</si>
  <si>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</si>
  <si>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</si>
  <si>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</si>
  <si>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</si>
  <si>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</si>
  <si>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</si>
  <si>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</si>
  <si>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</si>
  <si>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</si>
  <si>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</si>
  <si>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</si>
  <si>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</si>
  <si>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</si>
  <si>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</si>
  <si>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</si>
  <si>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</si>
  <si>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</si>
  <si>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</si>
  <si>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</si>
  <si>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</si>
  <si>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</si>
  <si>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</si>
  <si>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</si>
  <si>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</si>
  <si>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</si>
  <si>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</si>
  <si>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</si>
  <si>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</si>
  <si>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</si>
  <si>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</si>
  <si>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</si>
  <si>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</si>
  <si>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</si>
  <si>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</si>
  <si>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</si>
  <si>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</si>
  <si>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</si>
  <si>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</si>
  <si>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</si>
  <si>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</si>
  <si>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</si>
  <si>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</si>
  <si>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</si>
  <si>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</si>
  <si>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</si>
  <si>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</si>
  <si>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</si>
  <si>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</si>
  <si>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</si>
  <si>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</si>
  <si>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</si>
  <si>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</si>
  <si>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</si>
  <si>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</si>
  <si>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</si>
  <si>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</si>
  <si>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</si>
  <si>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</si>
  <si>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</si>
  <si>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</si>
  <si>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</si>
  <si>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</si>
  <si>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</si>
  <si>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</si>
  <si>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</si>
  <si>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</si>
  <si>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</si>
  <si>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</si>
  <si>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</si>
  <si>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</si>
  <si>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</si>
  <si>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</si>
  <si>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</si>
  <si>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</si>
  <si>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</si>
  <si>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</si>
  <si>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</si>
  <si>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</si>
  <si>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</si>
  <si>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</si>
  <si>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</si>
  <si>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</si>
  <si>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</si>
  <si>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</si>
  <si>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</si>
  <si>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</si>
  <si>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</si>
  <si>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</si>
  <si>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</si>
  <si>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</si>
  <si>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</si>
  <si>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</si>
  <si>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</si>
  <si>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</si>
  <si>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</si>
  <si>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</si>
  <si>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</si>
  <si>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</si>
  <si>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</si>
  <si>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</si>
  <si>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</si>
  <si>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</si>
  <si>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</si>
  <si>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</si>
  <si>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</si>
  <si>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</si>
  <si>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</si>
  <si>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</si>
  <si>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</si>
  <si>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</si>
  <si>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</si>
  <si>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</si>
  <si>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</si>
  <si>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</si>
  <si>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</si>
  <si>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</si>
  <si>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</si>
  <si>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</si>
  <si>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</si>
  <si>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</si>
  <si>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</si>
  <si>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</si>
  <si>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</si>
  <si>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</si>
  <si>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</si>
  <si>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</si>
  <si>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</si>
  <si>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</si>
  <si>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</si>
  <si>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</si>
  <si>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</si>
  <si>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</si>
  <si>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</si>
  <si>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</si>
  <si>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</si>
  <si>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</si>
  <si>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</si>
  <si>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</si>
  <si>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</si>
  <si>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</si>
  <si>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</si>
  <si>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</si>
  <si>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</si>
  <si>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</si>
  <si>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</si>
  <si>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</si>
  <si>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</si>
  <si>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</si>
  <si>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</si>
  <si>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</si>
  <si>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</si>
  <si>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</si>
  <si>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</si>
  <si>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</si>
  <si>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</si>
  <si>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</si>
  <si>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</si>
  <si>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</si>
  <si>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</si>
  <si>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</si>
  <si>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</si>
  <si>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</si>
  <si>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</si>
  <si>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</si>
  <si>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</si>
  <si>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</si>
  <si>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</si>
  <si>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</si>
  <si>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</si>
  <si>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</si>
  <si>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</si>
  <si>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</si>
  <si>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</si>
  <si>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</si>
  <si>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</si>
  <si>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</si>
  <si>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</si>
  <si>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</si>
  <si>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</si>
  <si>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</si>
  <si>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</si>
  <si>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</si>
  <si>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</si>
  <si>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</si>
  <si>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</si>
  <si>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</si>
  <si>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</si>
  <si>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</si>
  <si>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</si>
  <si>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</si>
  <si>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</si>
  <si>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</si>
  <si>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</si>
  <si>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</si>
  <si>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</si>
  <si>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</si>
  <si>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</si>
  <si>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</si>
  <si>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</si>
  <si>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</si>
  <si>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</si>
  <si>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</si>
  <si>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</si>
  <si>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</si>
  <si>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</si>
  <si>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</si>
  <si>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</si>
  <si>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</si>
  <si>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</si>
  <si>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</si>
  <si>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</si>
  <si>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</si>
  <si>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</si>
  <si>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</si>
  <si>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</si>
  <si>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</si>
  <si>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</si>
  <si>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</si>
  <si>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</si>
  <si>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</si>
  <si>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</si>
  <si>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</si>
  <si>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</si>
  <si>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</si>
  <si>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</si>
  <si>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</si>
  <si>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</si>
  <si>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</si>
  <si>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</si>
  <si>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</si>
  <si>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</si>
  <si>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cerox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</si>
  <si>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</si>
  <si>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</si>
  <si>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</si>
  <si>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</si>
  <si>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</si>
  <si>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</si>
  <si>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</si>
  <si>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</si>
  <si>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</si>
  <si>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</si>
  <si>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</si>
  <si>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</si>
  <si>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</si>
  <si>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</si>
  <si>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</si>
  <si>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</si>
  <si>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</si>
  <si>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</si>
  <si>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</si>
  <si>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</si>
  <si>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</si>
  <si>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</si>
  <si>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</si>
  <si>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count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</si>
  <si>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</si>
  <si>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</si>
  <si>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</si>
  <si>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</si>
  <si>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</si>
  <si>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</si>
  <si>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</si>
  <si>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</si>
  <si>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</si>
  <si>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</si>
  <si>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</si>
  <si>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</si>
  <si>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</si>
  <si>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</si>
  <si>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</si>
  <si>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</si>
  <si>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</si>
  <si>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</si>
  <si>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</si>
  <si>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X:\Canada 2 CPB (CA-UWO-012)\Database\Pat 012-018\CerOx\2241042</t>
  </si>
  <si>
    <t>X:\Canada 2 CPB (CA-UWO-012)\Database\Pat 012-019\Cerox\2241044</t>
  </si>
  <si>
    <t>X:\Canada 2 CPB (CA-UWO-012)\Database\Pat 012-020\Cerox\2241045</t>
  </si>
  <si>
    <t>X:\Canada 2 CPB (CA-UWO-012)\Database\Pat 012-021\Cerox\2241046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</si>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</sst>
</file>

<file path=xl/styles.xml><?xml version="1.0" encoding="utf-8"?>
<styleSheet xmlns="http://schemas.openxmlformats.org/spreadsheetml/2006/main">
  <numFmts count="1">
    <numFmt numFmtId="164" formatCode="0.000"/>
  </numFmts>
  <fonts count="5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400050</xdr:colOff>
      <xdr:row>10</xdr:row>
      <xdr:rowOff>47625</xdr:rowOff>
    </xdr:from>
    <xdr:to>
      <xdr:col>6</xdr:col>
      <xdr:colOff>285750</xdr:colOff>
      <xdr:row>15</xdr:row>
      <xdr:rowOff>66675</xdr:rowOff>
    </xdr:to>
    <xdr:sp macro="[0]!entry" textlink="">
      <xdr:nvSpPr>
        <xdr:cNvPr id="2" name="Oval 1"/>
        <xdr:cNvSpPr/>
      </xdr:nvSpPr>
      <xdr:spPr>
        <a:xfrm>
          <a:off x="2457450" y="18573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run</a:t>
          </a:r>
          <a:endParaRPr lang="he-IL" sz="4000"/>
        </a:p>
      </xdr:txBody>
    </xdr:sp>
    <xdr:clientData/>
  </xdr:twoCellAnchor>
  <xdr:twoCellAnchor>
    <xdr:from>
      <xdr:col>9</xdr:col>
      <xdr:colOff>9525</xdr:colOff>
      <xdr:row>4</xdr:row>
      <xdr:rowOff>47625</xdr:rowOff>
    </xdr:from>
    <xdr:to>
      <xdr:col>11</xdr:col>
      <xdr:colOff>504825</xdr:colOff>
      <xdr:row>8</xdr:row>
      <xdr:rowOff>9525</xdr:rowOff>
    </xdr:to>
    <xdr:sp macro="[0]!try" textlink="">
      <xdr:nvSpPr>
        <xdr:cNvPr id="3" name="Oval 2"/>
        <xdr:cNvSpPr/>
      </xdr:nvSpPr>
      <xdr:spPr>
        <a:xfrm>
          <a:off x="6181725" y="771525"/>
          <a:ext cx="1866900" cy="6858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2800"/>
            <a:t>test</a:t>
          </a:r>
          <a:endParaRPr lang="he-IL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beck</a:t>
          </a:r>
          <a:endParaRPr lang="he-IL" sz="4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8"/>
  <sheetViews>
    <sheetView workbookViewId="0">
      <selection activeCell="O11" sqref="A11:O12"/>
    </sheetView>
  </sheetViews>
  <sheetFormatPr defaultRowHeight="14.25"/>
  <sheetData>
    <row r="1" spans="1:1">
      <c r="A1" s="1" t="s">
        <v>0</v>
      </c>
    </row>
    <row r="2" spans="1:1">
      <c r="A2" s="1" t="s">
        <v>1</v>
      </c>
    </row>
    <row r="3" spans="1:1">
      <c r="A3" s="1" t="s">
        <v>2</v>
      </c>
    </row>
    <row r="4" spans="1:1">
      <c r="A4" s="1" t="s">
        <v>3</v>
      </c>
    </row>
    <row r="5" spans="1:1">
      <c r="A5" s="1" t="s">
        <v>4</v>
      </c>
    </row>
    <row r="6" spans="1:1">
      <c r="A6" s="1" t="s">
        <v>253</v>
      </c>
    </row>
    <row r="7" spans="1:1">
      <c r="A7" s="1" t="s">
        <v>254</v>
      </c>
    </row>
    <row r="8" spans="1:1">
      <c r="A8" s="1" t="s">
        <v>255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D6:N28"/>
  <sheetViews>
    <sheetView workbookViewId="0">
      <selection activeCell="K12" sqref="H12:K12"/>
    </sheetView>
  </sheetViews>
  <sheetFormatPr defaultRowHeight="14.25"/>
  <sheetData>
    <row r="6" spans="4:7">
      <c r="D6" s="2"/>
      <c r="E6" s="2"/>
      <c r="F6" s="2"/>
      <c r="G6" s="2"/>
    </row>
    <row r="7" spans="4:7">
      <c r="D7" s="2"/>
      <c r="E7" s="2"/>
      <c r="F7" s="2"/>
      <c r="G7" s="2"/>
    </row>
    <row r="8" spans="4:7">
      <c r="D8" s="2"/>
      <c r="E8" s="2"/>
      <c r="F8" s="2"/>
      <c r="G8" s="2"/>
    </row>
    <row r="9" spans="4:7">
      <c r="D9" s="2"/>
      <c r="E9" s="2"/>
      <c r="F9" s="2"/>
      <c r="G9" s="2"/>
    </row>
    <row r="10" spans="4:7">
      <c r="D10" s="2"/>
      <c r="E10" s="2"/>
      <c r="F10" s="2"/>
      <c r="G10" s="2"/>
    </row>
    <row r="11" spans="4:7">
      <c r="D11" s="2"/>
      <c r="E11" s="2"/>
      <c r="F11" s="2"/>
      <c r="G11" s="2"/>
    </row>
    <row r="12" spans="4:7">
      <c r="D12" s="2"/>
      <c r="E12" s="2"/>
      <c r="F12" s="2"/>
      <c r="G12" s="2"/>
    </row>
    <row r="20" spans="4:14">
      <c r="H20" t="s">
        <v>324</v>
      </c>
    </row>
    <row r="24" spans="4:14">
      <c r="D24">
        <v>1</v>
      </c>
      <c r="E24">
        <v>3</v>
      </c>
      <c r="H24">
        <v>1</v>
      </c>
      <c r="I24">
        <v>3</v>
      </c>
      <c r="J24">
        <f>IF(AND(H24&lt;&gt;"",I24&lt;&gt;""),1,0)</f>
        <v>1</v>
      </c>
      <c r="M24">
        <v>1</v>
      </c>
      <c r="N24">
        <v>3</v>
      </c>
    </row>
    <row r="25" spans="4:14">
      <c r="D25">
        <v>2</v>
      </c>
      <c r="E25">
        <v>2</v>
      </c>
      <c r="H25">
        <v>2</v>
      </c>
      <c r="I25">
        <v>4</v>
      </c>
      <c r="J25">
        <f t="shared" ref="J25:J27" si="0">IF(AND(H25&lt;&gt;"",I25&lt;&gt;""),1,0)</f>
        <v>1</v>
      </c>
      <c r="M25">
        <v>2</v>
      </c>
    </row>
    <row r="26" spans="4:14">
      <c r="H26">
        <v>1</v>
      </c>
      <c r="I26">
        <v>1</v>
      </c>
      <c r="J26">
        <f t="shared" si="0"/>
        <v>1</v>
      </c>
      <c r="N26">
        <v>4</v>
      </c>
    </row>
    <row r="27" spans="4:14">
      <c r="I27">
        <v>3</v>
      </c>
      <c r="J27">
        <f t="shared" si="0"/>
        <v>0</v>
      </c>
    </row>
    <row r="28" spans="4:14">
      <c r="D28">
        <f>CORREL(D24:D26,E24:E26)</f>
        <v>-1</v>
      </c>
      <c r="H28">
        <f>CORREL(H24:H26,I24:I26)</f>
        <v>0.7559289460184544</v>
      </c>
      <c r="M28" t="e">
        <f>CORREL(M24:M26,N24:N26)</f>
        <v>#DIV/0!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9"/>
  <sheetViews>
    <sheetView workbookViewId="0">
      <selection activeCell="A18" sqref="A18"/>
    </sheetView>
  </sheetViews>
  <sheetFormatPr defaultColWidth="12.375" defaultRowHeight="14.25"/>
  <cols>
    <col min="1" max="1" width="13" style="5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8" customWidth="1"/>
    <col min="9" max="9" width="7.875" style="8" customWidth="1"/>
    <col min="10" max="10" width="7.375" style="8" customWidth="1"/>
    <col min="11" max="11" width="21.25" bestFit="1" customWidth="1"/>
    <col min="12" max="12" width="12.375" style="6"/>
  </cols>
  <sheetData>
    <row r="1" spans="1:17">
      <c r="A1" s="7" t="s">
        <v>41</v>
      </c>
      <c r="B1" s="7" t="s">
        <v>46</v>
      </c>
      <c r="C1" s="7" t="s">
        <v>9</v>
      </c>
      <c r="D1" s="7" t="s">
        <v>5</v>
      </c>
      <c r="E1" s="7" t="s">
        <v>6</v>
      </c>
      <c r="F1" s="7" t="s">
        <v>12</v>
      </c>
      <c r="G1" s="7" t="s">
        <v>7</v>
      </c>
      <c r="H1" s="7" t="s">
        <v>8</v>
      </c>
      <c r="I1" s="7" t="s">
        <v>48</v>
      </c>
      <c r="J1" s="7" t="s">
        <v>49</v>
      </c>
      <c r="K1" s="7" t="s">
        <v>47</v>
      </c>
      <c r="L1" s="7" t="s">
        <v>10</v>
      </c>
      <c r="Q1" s="4" t="s">
        <v>11</v>
      </c>
    </row>
    <row r="2" spans="1:17" hidden="1">
      <c r="A2" s="5">
        <v>41526.431273148148</v>
      </c>
      <c r="B2">
        <v>12002</v>
      </c>
      <c r="C2" s="5">
        <v>41439.365428240744</v>
      </c>
      <c r="D2" s="5">
        <v>41439.365439814814</v>
      </c>
      <c r="E2" s="5">
        <v>41439.643483796295</v>
      </c>
      <c r="F2">
        <v>17980</v>
      </c>
      <c r="G2" t="s">
        <v>13</v>
      </c>
      <c r="H2" s="8">
        <v>1.3360956618464961</v>
      </c>
      <c r="I2" s="8" t="s">
        <v>14</v>
      </c>
      <c r="J2" s="10" t="s">
        <v>14</v>
      </c>
      <c r="K2" s="10" t="s">
        <v>43</v>
      </c>
      <c r="Q2" s="3">
        <v>20</v>
      </c>
    </row>
    <row r="3" spans="1:17" hidden="1">
      <c r="A3" s="5">
        <v>41526.457546296297</v>
      </c>
      <c r="B3">
        <v>12003</v>
      </c>
      <c r="C3" s="5">
        <v>41442.398611111108</v>
      </c>
      <c r="D3" s="5">
        <v>41442.3987037037</v>
      </c>
      <c r="E3" s="5">
        <v>41442.552789351852</v>
      </c>
      <c r="F3">
        <v>6222</v>
      </c>
      <c r="G3" t="s">
        <v>13</v>
      </c>
      <c r="H3" s="9">
        <v>2.1396657023465124</v>
      </c>
      <c r="I3" s="9" t="s">
        <v>15</v>
      </c>
      <c r="J3" s="9" t="s">
        <v>15</v>
      </c>
      <c r="K3" t="s">
        <v>42</v>
      </c>
    </row>
    <row r="4" spans="1:17" hidden="1">
      <c r="A4" s="5">
        <v>41526.450648148151</v>
      </c>
      <c r="B4">
        <v>12004</v>
      </c>
      <c r="C4" s="5">
        <v>41442.632928240739</v>
      </c>
      <c r="D4" s="5">
        <v>41442.632939814815</v>
      </c>
      <c r="E4" s="5">
        <v>41442.785671296297</v>
      </c>
      <c r="F4">
        <v>9038</v>
      </c>
      <c r="G4" t="s">
        <v>13</v>
      </c>
      <c r="H4" s="8">
        <v>1.4600575348528435</v>
      </c>
      <c r="I4" s="8" t="s">
        <v>16</v>
      </c>
      <c r="J4" s="8" t="s">
        <v>16</v>
      </c>
      <c r="K4" t="s">
        <v>44</v>
      </c>
    </row>
    <row r="5" spans="1:17" hidden="1">
      <c r="A5" s="5">
        <v>41526.452743055554</v>
      </c>
      <c r="B5">
        <v>12005</v>
      </c>
      <c r="C5" s="5">
        <v>41443.413576388892</v>
      </c>
      <c r="D5" s="5">
        <v>41443.413587962961</v>
      </c>
      <c r="E5" s="5">
        <v>41443.498229166667</v>
      </c>
      <c r="F5">
        <v>4309</v>
      </c>
      <c r="G5" t="s">
        <v>13</v>
      </c>
      <c r="H5" s="8">
        <v>1.6971455093989325</v>
      </c>
      <c r="I5" s="8" t="s">
        <v>17</v>
      </c>
      <c r="J5" s="8" t="s">
        <v>17</v>
      </c>
      <c r="K5" t="s">
        <v>45</v>
      </c>
    </row>
    <row r="6" spans="1:17" hidden="1">
      <c r="A6" s="5">
        <v>41548.479456018518</v>
      </c>
      <c r="B6" t="s">
        <v>177</v>
      </c>
      <c r="C6" s="16">
        <v>42163</v>
      </c>
      <c r="D6" s="5">
        <v>42163.595057870371</v>
      </c>
      <c r="E6" s="5">
        <v>42163.70957175926</v>
      </c>
      <c r="F6">
        <v>5708</v>
      </c>
      <c r="G6" t="s">
        <v>13</v>
      </c>
      <c r="H6" s="8">
        <v>1.7333566923615977</v>
      </c>
      <c r="I6" s="8" t="s">
        <v>178</v>
      </c>
      <c r="J6" s="8" t="s">
        <v>178</v>
      </c>
      <c r="K6" t="s">
        <v>179</v>
      </c>
    </row>
    <row r="7" spans="1:17" hidden="1">
      <c r="A7" s="5">
        <v>41548.581979166665</v>
      </c>
      <c r="B7" t="s">
        <v>214</v>
      </c>
      <c r="C7" s="16">
        <v>41829</v>
      </c>
      <c r="D7" s="5">
        <v>41829.364259259259</v>
      </c>
      <c r="E7" s="5">
        <v>41829.511620370373</v>
      </c>
      <c r="F7">
        <v>7890</v>
      </c>
      <c r="G7" s="6" t="s">
        <v>13</v>
      </c>
      <c r="H7" s="8">
        <v>1.6136882129277565</v>
      </c>
      <c r="I7" s="8" t="s">
        <v>213</v>
      </c>
      <c r="J7" s="8" t="s">
        <v>213</v>
      </c>
      <c r="K7" t="s">
        <v>217</v>
      </c>
    </row>
    <row r="8" spans="1:17" hidden="1">
      <c r="A8" s="5">
        <v>41548.594363425924</v>
      </c>
      <c r="C8" s="16">
        <v>42163</v>
      </c>
      <c r="D8" s="5">
        <v>42163.02443287037</v>
      </c>
      <c r="E8" s="5">
        <v>42163.012060185189</v>
      </c>
      <c r="F8">
        <v>8811</v>
      </c>
      <c r="G8" t="s">
        <v>13</v>
      </c>
      <c r="H8" s="8">
        <v>-0.12132561570763818</v>
      </c>
      <c r="K8" t="s">
        <v>218</v>
      </c>
    </row>
    <row r="9" spans="1:17" hidden="1">
      <c r="A9" s="5">
        <v>41548.594837962963</v>
      </c>
      <c r="C9" s="16">
        <v>41463</v>
      </c>
      <c r="D9" s="5">
        <v>41463.433854166666</v>
      </c>
      <c r="E9" s="5">
        <v>41463.521620370368</v>
      </c>
      <c r="F9">
        <v>5188</v>
      </c>
      <c r="G9" t="s">
        <v>13</v>
      </c>
      <c r="H9" s="8">
        <v>1.4616422513492675</v>
      </c>
      <c r="K9" t="s">
        <v>219</v>
      </c>
    </row>
    <row r="10" spans="1:17" hidden="1">
      <c r="A10" s="5">
        <v>41548.595520833333</v>
      </c>
      <c r="C10" s="16">
        <v>42162</v>
      </c>
      <c r="D10" s="5">
        <v>42162.606874999998</v>
      </c>
      <c r="E10" s="5">
        <v>42162.739155092589</v>
      </c>
      <c r="F10">
        <v>8786</v>
      </c>
      <c r="G10" t="s">
        <v>13</v>
      </c>
      <c r="H10" s="8">
        <v>1.3008194855451856</v>
      </c>
      <c r="K10" t="s">
        <v>220</v>
      </c>
    </row>
    <row r="11" spans="1:17" hidden="1">
      <c r="A11" s="5">
        <v>41548.596307870372</v>
      </c>
      <c r="C11" s="16">
        <v>41980</v>
      </c>
      <c r="D11" s="5">
        <v>41980.642685185187</v>
      </c>
      <c r="E11" s="5">
        <v>41980.787511574075</v>
      </c>
      <c r="F11">
        <v>8748</v>
      </c>
      <c r="G11" t="s">
        <v>13</v>
      </c>
      <c r="H11" s="8">
        <v>1.4303840877914953</v>
      </c>
      <c r="K11" t="s">
        <v>221</v>
      </c>
    </row>
    <row r="12" spans="1:17" hidden="1">
      <c r="A12" s="5">
        <v>41548.625868055555</v>
      </c>
      <c r="B12" t="s">
        <v>216</v>
      </c>
      <c r="C12" s="16">
        <v>41980</v>
      </c>
      <c r="D12" s="5">
        <v>41980.642685185187</v>
      </c>
      <c r="E12" s="5">
        <v>41980.787511574075</v>
      </c>
      <c r="F12">
        <v>8748</v>
      </c>
      <c r="G12" t="s">
        <v>13</v>
      </c>
      <c r="H12" s="8">
        <v>1.4303840877914953</v>
      </c>
      <c r="I12" s="8" t="s">
        <v>215</v>
      </c>
      <c r="J12" s="8" t="s">
        <v>215</v>
      </c>
      <c r="K12" t="s">
        <v>221</v>
      </c>
    </row>
    <row r="13" spans="1:17" hidden="1">
      <c r="A13" s="5">
        <v>41548.642025462963</v>
      </c>
      <c r="C13" s="16">
        <v>41479</v>
      </c>
      <c r="D13" s="5">
        <v>41479.642685185187</v>
      </c>
      <c r="E13" s="5">
        <v>41479.787511574075</v>
      </c>
      <c r="F13">
        <v>8748</v>
      </c>
      <c r="G13" t="s">
        <v>13</v>
      </c>
      <c r="H13" s="8">
        <v>1.4303840877914953</v>
      </c>
      <c r="K13" t="s">
        <v>221</v>
      </c>
    </row>
    <row r="14" spans="1:17" hidden="1">
      <c r="A14" s="5">
        <v>41561.677615740744</v>
      </c>
      <c r="B14" t="s">
        <v>288</v>
      </c>
      <c r="C14" s="5">
        <v>41439.365428240744</v>
      </c>
      <c r="D14" s="5">
        <v>41439.365439814814</v>
      </c>
      <c r="E14" s="5">
        <v>41439.643483796295</v>
      </c>
      <c r="F14">
        <v>17980</v>
      </c>
      <c r="G14" t="s">
        <v>13</v>
      </c>
      <c r="H14" s="8">
        <v>1.3360956618464961</v>
      </c>
      <c r="I14" s="8" t="s">
        <v>289</v>
      </c>
      <c r="J14" s="8" t="s">
        <v>289</v>
      </c>
      <c r="K14" t="s">
        <v>290</v>
      </c>
    </row>
    <row r="15" spans="1:17">
      <c r="A15" s="5">
        <v>41561.687858796293</v>
      </c>
      <c r="C15" s="5">
        <v>41442.398611111108</v>
      </c>
      <c r="D15" s="5">
        <v>41442.3987037037</v>
      </c>
      <c r="E15" s="5">
        <v>41442.552789351852</v>
      </c>
      <c r="F15">
        <v>6222</v>
      </c>
      <c r="G15" t="s">
        <v>13</v>
      </c>
      <c r="H15" s="8">
        <v>2.1396657023465124</v>
      </c>
      <c r="K15" t="s">
        <v>291</v>
      </c>
    </row>
    <row r="16" spans="1:17">
      <c r="A16" s="5">
        <v>41561.689120370371</v>
      </c>
      <c r="C16" s="5">
        <v>41442.632928240739</v>
      </c>
      <c r="D16" s="5">
        <v>41442.632939814815</v>
      </c>
      <c r="E16" s="5">
        <v>41442.785671296297</v>
      </c>
      <c r="F16">
        <v>9038</v>
      </c>
      <c r="G16" t="s">
        <v>13</v>
      </c>
      <c r="H16" s="8">
        <v>1.4600575348528435</v>
      </c>
      <c r="K16" t="s">
        <v>292</v>
      </c>
    </row>
    <row r="17" spans="1:11">
      <c r="A17" s="5">
        <v>41561.689722222225</v>
      </c>
      <c r="C17" s="5">
        <v>41443.413576388892</v>
      </c>
      <c r="D17" s="5">
        <v>41443.413587962961</v>
      </c>
      <c r="E17" s="5">
        <v>41443.498229166667</v>
      </c>
      <c r="F17">
        <v>4309</v>
      </c>
      <c r="G17" t="s">
        <v>13</v>
      </c>
      <c r="H17" s="8">
        <v>1.6971455093989325</v>
      </c>
      <c r="K17" t="s">
        <v>293</v>
      </c>
    </row>
    <row r="18" spans="1:11">
      <c r="A18" s="5">
        <v>41605.539120370369</v>
      </c>
      <c r="B18" t="s">
        <v>332</v>
      </c>
      <c r="C18" s="16">
        <v>41586</v>
      </c>
      <c r="D18" s="5">
        <v>41586.665173611109</v>
      </c>
      <c r="E18" s="5">
        <v>41586.780416666668</v>
      </c>
      <c r="F18">
        <v>6225</v>
      </c>
      <c r="G18" t="s">
        <v>13</v>
      </c>
      <c r="H18" s="8">
        <v>1.5995180722891567</v>
      </c>
      <c r="I18" s="8" t="s">
        <v>333</v>
      </c>
      <c r="J18" s="8" t="s">
        <v>333</v>
      </c>
      <c r="K18" t="s">
        <v>334</v>
      </c>
    </row>
    <row r="19" spans="1:11">
      <c r="A19" s="5">
        <v>41605.581782407404</v>
      </c>
      <c r="B19" t="s">
        <v>341</v>
      </c>
      <c r="C19" s="16">
        <v>41467</v>
      </c>
      <c r="D19" s="5">
        <v>41467.000011574077</v>
      </c>
      <c r="E19" s="5">
        <v>41467.265833333331</v>
      </c>
      <c r="F19">
        <v>13899</v>
      </c>
      <c r="G19" t="s">
        <v>13</v>
      </c>
      <c r="H19" s="8">
        <v>1.652421037484711</v>
      </c>
      <c r="I19" s="8" t="s">
        <v>342</v>
      </c>
      <c r="J19" s="8" t="s">
        <v>342</v>
      </c>
      <c r="K19" t="s">
        <v>343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49"/>
  <sheetViews>
    <sheetView workbookViewId="0">
      <pane ySplit="11" topLeftCell="A48" activePane="bottomLeft" state="frozen"/>
      <selection pane="bottomLeft" activeCell="C79" sqref="C7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7" t="s">
        <v>41</v>
      </c>
      <c r="B1" s="7" t="s">
        <v>46</v>
      </c>
      <c r="C1" s="7" t="s">
        <v>5</v>
      </c>
      <c r="D1" s="7" t="s">
        <v>6</v>
      </c>
      <c r="E1" s="7" t="s">
        <v>12</v>
      </c>
      <c r="F1" s="7" t="s">
        <v>7</v>
      </c>
      <c r="G1" s="7" t="s">
        <v>8</v>
      </c>
      <c r="H1" s="7" t="s">
        <v>48</v>
      </c>
      <c r="I1" s="7" t="s">
        <v>49</v>
      </c>
      <c r="J1" s="7" t="s">
        <v>47</v>
      </c>
      <c r="K1" s="7" t="s">
        <v>10</v>
      </c>
      <c r="Q1" s="4" t="s">
        <v>11</v>
      </c>
    </row>
    <row r="2" spans="1:17" hidden="1">
      <c r="A2" s="5">
        <v>41526.470682870371</v>
      </c>
      <c r="B2" t="s">
        <v>18</v>
      </c>
      <c r="C2" s="5">
        <v>41439.379467592589</v>
      </c>
      <c r="D2" s="5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5"/>
      <c r="Q2" s="3">
        <v>50</v>
      </c>
    </row>
    <row r="3" spans="1:17" hidden="1">
      <c r="A3" s="5">
        <v>41526.492118055554</v>
      </c>
      <c r="B3">
        <v>12003</v>
      </c>
      <c r="C3" s="5">
        <v>41442.400625000002</v>
      </c>
      <c r="D3" s="5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5">
        <v>41526.475300925929</v>
      </c>
      <c r="B4">
        <v>12003</v>
      </c>
      <c r="C4" s="5">
        <v>41442.612187500003</v>
      </c>
      <c r="D4" s="5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5">
        <v>41526.48065972222</v>
      </c>
      <c r="B5">
        <v>12004</v>
      </c>
      <c r="C5" s="5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5">
        <v>41526.484351851854</v>
      </c>
      <c r="B6">
        <v>12005</v>
      </c>
      <c r="C6" s="5">
        <v>41443.382708333331</v>
      </c>
      <c r="D6" s="5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5">
        <v>41526.48474537037</v>
      </c>
      <c r="B7">
        <v>12006</v>
      </c>
      <c r="C7" s="5">
        <v>41450.514768518522</v>
      </c>
      <c r="D7" s="5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5">
        <v>41526.485636574071</v>
      </c>
      <c r="B8">
        <v>12007</v>
      </c>
      <c r="C8" s="5">
        <v>41464.662615740737</v>
      </c>
      <c r="D8" s="5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5">
        <v>41526.486458333333</v>
      </c>
      <c r="B9">
        <v>12009</v>
      </c>
      <c r="C9" s="5">
        <v>41479.650706018518</v>
      </c>
      <c r="D9" s="5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5">
        <v>41533.726921296293</v>
      </c>
      <c r="B10" t="s">
        <v>165</v>
      </c>
      <c r="C10" s="5">
        <v>41617.417800925927</v>
      </c>
      <c r="D10" s="5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5">
        <v>41548.456064814818</v>
      </c>
      <c r="B11" t="s">
        <v>175</v>
      </c>
      <c r="C11" s="5">
        <v>41450.514768518522</v>
      </c>
      <c r="D11" s="5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5">
        <v>41561.622488425928</v>
      </c>
      <c r="B12" t="s">
        <v>257</v>
      </c>
      <c r="C12" s="5">
        <v>41439.379467592589</v>
      </c>
      <c r="D12" s="5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5">
        <v>41561.631111111114</v>
      </c>
      <c r="C13" s="5">
        <v>41439.378067129626</v>
      </c>
      <c r="D13" s="5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5">
        <v>41561.631192129629</v>
      </c>
      <c r="C14" s="5">
        <v>41442.612187500003</v>
      </c>
      <c r="D14" s="5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5">
        <v>41561.631215277775</v>
      </c>
      <c r="C15" s="5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5">
        <v>41561.631284722222</v>
      </c>
      <c r="C16" s="5">
        <v>41443.382708333331</v>
      </c>
      <c r="D16" s="5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5">
        <v>41561.63422453704</v>
      </c>
      <c r="C17" s="5">
        <v>41450.514768518522</v>
      </c>
      <c r="D17" s="5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5">
        <v>41561.634375000001</v>
      </c>
      <c r="C18" s="5">
        <v>41464.662615740737</v>
      </c>
      <c r="D18" s="5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5">
        <v>41561.634606481479</v>
      </c>
      <c r="C19" s="5">
        <v>41472.642442129632</v>
      </c>
      <c r="D19" s="5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5">
        <v>41561.635011574072</v>
      </c>
      <c r="C20" s="5">
        <v>41479.650706018518</v>
      </c>
      <c r="D20" s="5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5">
        <v>41561.635393518518</v>
      </c>
      <c r="C21" s="5">
        <v>41485.619733796295</v>
      </c>
      <c r="D21" s="5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5">
        <v>41561.635729166665</v>
      </c>
      <c r="C22" s="5">
        <v>41493.432835648149</v>
      </c>
      <c r="D22" s="5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5">
        <v>41561.63690972222</v>
      </c>
      <c r="C23" s="5">
        <v>41516.378668981481</v>
      </c>
      <c r="D23" s="5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5">
        <v>41561.637395833335</v>
      </c>
      <c r="C24" s="5">
        <v>41516.607488425929</v>
      </c>
      <c r="D24" s="5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5">
        <v>41561.63790509259</v>
      </c>
      <c r="C25" s="5">
        <v>41536.382002314815</v>
      </c>
      <c r="D25" s="5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5">
        <v>41561.638425925928</v>
      </c>
      <c r="C26" s="5">
        <v>41536.579421296294</v>
      </c>
      <c r="D26" s="5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5">
        <v>41561.642280092594</v>
      </c>
      <c r="B27" t="s">
        <v>260</v>
      </c>
      <c r="C27" s="5">
        <v>41450.514768518522</v>
      </c>
      <c r="D27" s="5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5">
        <v>41561.644930555558</v>
      </c>
      <c r="B28" t="s">
        <v>260</v>
      </c>
      <c r="C28" s="5">
        <v>41439.378067129626</v>
      </c>
      <c r="D28" s="5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5">
        <v>41561.645092592589</v>
      </c>
      <c r="B29" t="s">
        <v>260</v>
      </c>
      <c r="C29" s="5">
        <v>41442.612187500003</v>
      </c>
      <c r="D29" s="5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5">
        <v>41561.645138888889</v>
      </c>
      <c r="B30" t="s">
        <v>260</v>
      </c>
      <c r="C30" s="5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5">
        <v>41561.645208333335</v>
      </c>
      <c r="B31" t="s">
        <v>260</v>
      </c>
      <c r="C31" s="5">
        <v>41443.382708333331</v>
      </c>
      <c r="D31" s="5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5">
        <v>41561.646539351852</v>
      </c>
      <c r="B32" t="s">
        <v>260</v>
      </c>
      <c r="C32" s="5">
        <v>41450.514768518522</v>
      </c>
      <c r="D32" s="5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5">
        <v>41561.646608796298</v>
      </c>
      <c r="B33" t="s">
        <v>260</v>
      </c>
      <c r="C33" s="5">
        <v>41464.662615740737</v>
      </c>
      <c r="D33" s="5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5">
        <v>41561.646863425929</v>
      </c>
      <c r="B34" t="s">
        <v>260</v>
      </c>
      <c r="C34" s="5">
        <v>41472.642442129632</v>
      </c>
      <c r="D34" s="5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5">
        <v>41561.647280092591</v>
      </c>
      <c r="B35" t="s">
        <v>260</v>
      </c>
      <c r="C35" s="5">
        <v>41479.650706018518</v>
      </c>
      <c r="D35" s="5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5">
        <v>41561.64770833333</v>
      </c>
      <c r="B36" t="s">
        <v>260</v>
      </c>
      <c r="C36" s="5">
        <v>41485.619733796295</v>
      </c>
      <c r="D36" s="5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5">
        <v>41561.648113425923</v>
      </c>
      <c r="B37" t="s">
        <v>260</v>
      </c>
      <c r="C37" s="5">
        <v>41493.432835648149</v>
      </c>
      <c r="D37" s="5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5">
        <v>41561.648576388892</v>
      </c>
      <c r="B38" t="s">
        <v>260</v>
      </c>
      <c r="C38" s="5">
        <v>41516.378668981481</v>
      </c>
      <c r="D38" s="5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5">
        <v>41561.648993055554</v>
      </c>
      <c r="B39" t="s">
        <v>260</v>
      </c>
      <c r="C39" s="5">
        <v>41516.607488425929</v>
      </c>
      <c r="D39" s="5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5">
        <v>41561.649409722224</v>
      </c>
      <c r="B40" t="s">
        <v>260</v>
      </c>
      <c r="C40" s="5">
        <v>41536.382002314815</v>
      </c>
      <c r="D40" s="5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5">
        <v>41561.650578703702</v>
      </c>
      <c r="B41" t="s">
        <v>260</v>
      </c>
      <c r="C41" s="5">
        <v>41536.579421296294</v>
      </c>
      <c r="D41" s="5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5">
        <v>41561.654895833337</v>
      </c>
      <c r="B42" t="s">
        <v>286</v>
      </c>
      <c r="C42" s="5">
        <v>41439.379467592589</v>
      </c>
      <c r="D42" s="5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5">
        <v>41561.656273148146</v>
      </c>
      <c r="B43" t="s">
        <v>260</v>
      </c>
      <c r="C43" s="5">
        <v>41450.514768518522</v>
      </c>
      <c r="D43" s="5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5">
        <v>41563.530659722222</v>
      </c>
      <c r="B44" t="s">
        <v>294</v>
      </c>
      <c r="C44" s="5">
        <v>41536.579421296294</v>
      </c>
      <c r="D44" s="5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5">
        <v>41563.596944444442</v>
      </c>
      <c r="B45" t="s">
        <v>294</v>
      </c>
      <c r="C45" s="5">
        <v>41536.579421296294</v>
      </c>
      <c r="D45" s="5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5">
        <v>41563.616805555554</v>
      </c>
      <c r="B46" t="s">
        <v>294</v>
      </c>
      <c r="C46" s="5">
        <v>41536.579421296294</v>
      </c>
      <c r="D46" s="5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5">
        <v>41581.458032407405</v>
      </c>
      <c r="B47" t="s">
        <v>320</v>
      </c>
      <c r="C47" s="5">
        <v>41442.612199074072</v>
      </c>
      <c r="D47" s="5">
        <v>41442.785208333335</v>
      </c>
      <c r="E47">
        <v>1494</v>
      </c>
      <c r="F47" t="s">
        <v>263</v>
      </c>
      <c r="G47">
        <v>10</v>
      </c>
      <c r="H47" t="s">
        <v>321</v>
      </c>
      <c r="I47" t="s">
        <v>321</v>
      </c>
      <c r="J47" t="s">
        <v>26</v>
      </c>
    </row>
    <row r="48" spans="1:10">
      <c r="A48" s="5">
        <v>41605.531412037039</v>
      </c>
      <c r="B48" t="s">
        <v>329</v>
      </c>
      <c r="C48" s="5">
        <v>41586.625636574077</v>
      </c>
      <c r="D48" s="5">
        <v>41586.7503125</v>
      </c>
      <c r="E48">
        <v>10722</v>
      </c>
      <c r="F48" t="s">
        <v>258</v>
      </c>
      <c r="G48">
        <v>1</v>
      </c>
      <c r="H48" t="s">
        <v>330</v>
      </c>
      <c r="I48" t="s">
        <v>330</v>
      </c>
      <c r="J48" t="s">
        <v>331</v>
      </c>
    </row>
    <row r="49" spans="1:10">
      <c r="A49" s="5">
        <v>41605.577708333331</v>
      </c>
      <c r="B49" t="s">
        <v>338</v>
      </c>
      <c r="C49" s="5">
        <v>41467.400613425925</v>
      </c>
      <c r="D49" s="5">
        <v>41467.633159722223</v>
      </c>
      <c r="E49">
        <v>20024</v>
      </c>
      <c r="F49" t="s">
        <v>258</v>
      </c>
      <c r="G49">
        <v>1</v>
      </c>
      <c r="H49" t="s">
        <v>339</v>
      </c>
      <c r="I49" t="s">
        <v>339</v>
      </c>
      <c r="J49" t="s">
        <v>340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20"/>
  <sheetViews>
    <sheetView workbookViewId="0">
      <pane ySplit="23" topLeftCell="A99" activePane="bottomLeft" state="frozen"/>
      <selection pane="bottomLeft" activeCell="B127" sqref="B127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112.125" bestFit="1" customWidth="1"/>
    <col min="19" max="19" width="119.625" bestFit="1" customWidth="1"/>
    <col min="20" max="20" width="15.125" bestFit="1" customWidth="1"/>
  </cols>
  <sheetData>
    <row r="1" spans="1:30">
      <c r="A1" s="7" t="s">
        <v>41</v>
      </c>
      <c r="B1" s="7" t="s">
        <v>48</v>
      </c>
      <c r="C1" s="13" t="s">
        <v>57</v>
      </c>
      <c r="D1" s="14" t="s">
        <v>58</v>
      </c>
      <c r="E1" s="14" t="s">
        <v>59</v>
      </c>
      <c r="F1" t="s">
        <v>62</v>
      </c>
      <c r="G1" t="s">
        <v>63</v>
      </c>
      <c r="H1" t="s">
        <v>64</v>
      </c>
      <c r="I1" t="s">
        <v>61</v>
      </c>
      <c r="J1" s="14" t="s">
        <v>60</v>
      </c>
      <c r="K1" s="11" t="s">
        <v>55</v>
      </c>
      <c r="L1" s="11" t="s">
        <v>54</v>
      </c>
      <c r="M1" s="11" t="s">
        <v>56</v>
      </c>
      <c r="N1" s="12" t="s">
        <v>53</v>
      </c>
      <c r="O1" s="12" t="s">
        <v>52</v>
      </c>
      <c r="P1" s="12" t="s">
        <v>51</v>
      </c>
      <c r="Q1" s="12" t="s">
        <v>50</v>
      </c>
      <c r="R1" s="7" t="s">
        <v>70</v>
      </c>
      <c r="S1" s="7" t="s">
        <v>10</v>
      </c>
      <c r="T1" s="15" t="s">
        <v>81</v>
      </c>
      <c r="AD1" s="4" t="s">
        <v>11</v>
      </c>
    </row>
    <row r="2" spans="1:30" hidden="1">
      <c r="A2" s="5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3">
        <v>121</v>
      </c>
    </row>
    <row r="3" spans="1:30" hidden="1">
      <c r="A3" s="5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 hidden="1">
      <c r="A4" s="5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 hidden="1">
      <c r="A5" s="5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5">
        <v>41556.350706018522</v>
      </c>
      <c r="K5" s="5">
        <v>41556.352256944447</v>
      </c>
      <c r="L5">
        <v>12</v>
      </c>
      <c r="M5">
        <v>11</v>
      </c>
      <c r="N5" s="5">
        <v>41556.350706018522</v>
      </c>
      <c r="O5" s="5">
        <v>41556.352256944447</v>
      </c>
      <c r="P5">
        <v>2</v>
      </c>
      <c r="Q5">
        <v>84</v>
      </c>
      <c r="S5" t="s">
        <v>75</v>
      </c>
    </row>
    <row r="6" spans="1:30" hidden="1">
      <c r="A6" s="5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5">
        <v>41556.350706018522</v>
      </c>
      <c r="K6" s="5">
        <v>41556.352256944447</v>
      </c>
      <c r="L6">
        <v>12</v>
      </c>
      <c r="M6">
        <v>11</v>
      </c>
      <c r="N6" s="5">
        <v>41556.350706018522</v>
      </c>
      <c r="O6" s="5">
        <v>41556.352256944447</v>
      </c>
      <c r="P6">
        <v>2</v>
      </c>
      <c r="Q6">
        <v>84</v>
      </c>
      <c r="S6" t="s">
        <v>75</v>
      </c>
    </row>
    <row r="7" spans="1:30" hidden="1">
      <c r="A7" s="5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5">
        <v>41556.350706018522</v>
      </c>
      <c r="K7" s="5">
        <v>41556.352256944447</v>
      </c>
      <c r="L7">
        <v>12</v>
      </c>
      <c r="M7">
        <v>11</v>
      </c>
      <c r="N7" s="5">
        <v>41556.350706018522</v>
      </c>
      <c r="O7" s="5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 hidden="1">
      <c r="A8" s="5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5">
        <v>41556.350706018522</v>
      </c>
      <c r="K8" s="5">
        <v>41556.352256944447</v>
      </c>
      <c r="L8">
        <v>12</v>
      </c>
      <c r="M8">
        <v>11</v>
      </c>
      <c r="N8" s="5">
        <v>41556.350706018522</v>
      </c>
      <c r="O8" s="5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 hidden="1">
      <c r="A9" s="5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5">
        <v>41556.350706018522</v>
      </c>
      <c r="K9" s="5">
        <v>41556.352256944447</v>
      </c>
      <c r="L9">
        <v>12</v>
      </c>
      <c r="M9">
        <v>11</v>
      </c>
      <c r="N9" s="5">
        <v>41556.350706018522</v>
      </c>
      <c r="O9" s="5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 hidden="1">
      <c r="A10" s="5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5">
        <v>41556.350706018522</v>
      </c>
      <c r="K10" s="5">
        <v>41556.352256944447</v>
      </c>
      <c r="L10">
        <v>12</v>
      </c>
      <c r="M10">
        <v>11</v>
      </c>
      <c r="N10" s="5">
        <v>41556.350706018522</v>
      </c>
      <c r="O10" s="5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 hidden="1">
      <c r="A11" s="5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5">
        <v>41556.350706018522</v>
      </c>
      <c r="K11" s="5">
        <v>41556.352256944447</v>
      </c>
      <c r="L11">
        <v>12</v>
      </c>
      <c r="M11">
        <v>11</v>
      </c>
      <c r="N11" s="5">
        <v>41556.350706018522</v>
      </c>
      <c r="O11" s="5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 hidden="1">
      <c r="A12" s="5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5">
        <v>41556.350706018522</v>
      </c>
      <c r="K12" s="5">
        <v>41556.352256944447</v>
      </c>
      <c r="L12">
        <v>12</v>
      </c>
      <c r="M12">
        <v>11</v>
      </c>
      <c r="N12" s="5">
        <v>41556.350706018522</v>
      </c>
      <c r="O12" s="5">
        <v>41556.352256944447</v>
      </c>
      <c r="P12">
        <v>2</v>
      </c>
      <c r="Q12">
        <v>84</v>
      </c>
      <c r="S12" t="s">
        <v>82</v>
      </c>
    </row>
    <row r="13" spans="1:30" hidden="1">
      <c r="A13" s="5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5">
        <v>41556.350706018522</v>
      </c>
      <c r="K13" s="5">
        <v>41556.352256944447</v>
      </c>
      <c r="L13">
        <v>12</v>
      </c>
      <c r="M13">
        <v>11</v>
      </c>
      <c r="N13" s="5">
        <v>41556.350706018522</v>
      </c>
      <c r="O13" s="5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 hidden="1">
      <c r="A14" s="5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5">
        <v>41556.350706018522</v>
      </c>
      <c r="K14" s="5">
        <v>41556.352256944447</v>
      </c>
      <c r="L14">
        <v>12</v>
      </c>
      <c r="M14">
        <v>11</v>
      </c>
      <c r="N14" s="5">
        <v>41556.350706018522</v>
      </c>
      <c r="O14" s="5">
        <v>41556.352256944447</v>
      </c>
      <c r="P14">
        <v>2</v>
      </c>
      <c r="Q14">
        <v>84</v>
      </c>
      <c r="S14" t="s">
        <v>82</v>
      </c>
      <c r="T14">
        <v>0</v>
      </c>
    </row>
    <row r="15" spans="1:30" hidden="1">
      <c r="A15" s="5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5">
        <v>41556.350706018522</v>
      </c>
      <c r="K15" s="5">
        <v>41556.352256944447</v>
      </c>
      <c r="L15">
        <v>12</v>
      </c>
      <c r="M15">
        <v>11</v>
      </c>
      <c r="N15" s="5">
        <v>41556.350706018522</v>
      </c>
      <c r="O15" s="5">
        <v>41556.352256944447</v>
      </c>
      <c r="P15">
        <v>2</v>
      </c>
      <c r="Q15">
        <v>84</v>
      </c>
      <c r="S15" t="s">
        <v>82</v>
      </c>
      <c r="T15">
        <v>0</v>
      </c>
    </row>
    <row r="16" spans="1:30" hidden="1">
      <c r="A16" s="5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5">
        <v>41556.350706018522</v>
      </c>
      <c r="K16" s="5">
        <v>41556.352256944447</v>
      </c>
      <c r="L16">
        <v>12</v>
      </c>
      <c r="M16">
        <v>11</v>
      </c>
      <c r="N16" s="5">
        <v>41556.350706018522</v>
      </c>
      <c r="O16" s="5">
        <v>41556.352256944447</v>
      </c>
      <c r="P16">
        <v>2</v>
      </c>
      <c r="Q16">
        <v>84</v>
      </c>
      <c r="S16" t="s">
        <v>82</v>
      </c>
      <c r="T16">
        <v>0</v>
      </c>
    </row>
    <row r="17" spans="1:20" hidden="1">
      <c r="A17" s="5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5">
        <v>41556.350706018522</v>
      </c>
      <c r="K17" s="5">
        <v>41556.352256944447</v>
      </c>
      <c r="L17">
        <v>12</v>
      </c>
      <c r="M17">
        <v>11</v>
      </c>
      <c r="N17" s="5">
        <v>41556.350706018522</v>
      </c>
      <c r="O17" s="5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 hidden="1">
      <c r="A18" s="5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5">
        <v>41556.350706018522</v>
      </c>
      <c r="K18" s="5">
        <v>41556.352256944447</v>
      </c>
      <c r="L18">
        <v>12</v>
      </c>
      <c r="M18">
        <v>11</v>
      </c>
      <c r="N18" s="5">
        <v>41556.350706018522</v>
      </c>
      <c r="O18" s="5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 hidden="1">
      <c r="A19" s="5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5">
        <v>41556.350706018522</v>
      </c>
      <c r="K19" s="5">
        <v>41556.352256944447</v>
      </c>
      <c r="L19">
        <v>12</v>
      </c>
      <c r="M19">
        <v>11</v>
      </c>
      <c r="N19" s="5">
        <v>41556.350706018522</v>
      </c>
      <c r="O19" s="5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 hidden="1">
      <c r="A20" s="5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5">
        <v>41556.350706018522</v>
      </c>
      <c r="K20" s="5">
        <v>41556.352256944447</v>
      </c>
      <c r="L20">
        <v>12</v>
      </c>
      <c r="M20">
        <v>11</v>
      </c>
      <c r="S20" t="s">
        <v>83</v>
      </c>
    </row>
    <row r="21" spans="1:20" hidden="1">
      <c r="A21" s="5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5">
        <v>41556.350706018522</v>
      </c>
      <c r="K21" s="5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 hidden="1">
      <c r="A22" s="5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5">
        <v>41556.350706018522</v>
      </c>
      <c r="K22" s="5">
        <v>41556.352256944447</v>
      </c>
      <c r="L22">
        <v>12</v>
      </c>
      <c r="M22">
        <v>11</v>
      </c>
      <c r="S22" t="s">
        <v>83</v>
      </c>
    </row>
    <row r="23" spans="1:20" hidden="1">
      <c r="A23" s="5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5">
        <v>41556.350706018522</v>
      </c>
      <c r="K23" s="5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 hidden="1">
      <c r="A24" s="5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 hidden="1">
      <c r="A25" s="5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 hidden="1">
      <c r="A26" s="5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 hidden="1">
      <c r="A27" s="5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 hidden="1">
      <c r="A28" s="5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 hidden="1">
      <c r="A29" s="5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 hidden="1">
      <c r="A30" s="5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 hidden="1">
      <c r="A31" s="5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 hidden="1">
      <c r="A32" s="5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 hidden="1">
      <c r="A33" s="5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 hidden="1">
      <c r="A34" s="5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 hidden="1">
      <c r="A35" s="5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5">
        <v>41524.863425925927</v>
      </c>
      <c r="K35" s="5">
        <v>41554.004861111112</v>
      </c>
      <c r="L35">
        <v>9034</v>
      </c>
      <c r="M35">
        <v>1</v>
      </c>
      <c r="N35" s="5">
        <v>41524.863425925927</v>
      </c>
      <c r="O35" s="5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 hidden="1">
      <c r="A36" s="5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5">
        <v>41524.863425925927</v>
      </c>
      <c r="K36" s="5">
        <v>41554.004861111112</v>
      </c>
      <c r="L36">
        <v>9034</v>
      </c>
      <c r="M36">
        <v>1</v>
      </c>
      <c r="N36" s="5">
        <v>41524.863425925927</v>
      </c>
      <c r="O36" s="5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 hidden="1">
      <c r="A37" s="5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 hidden="1">
      <c r="A38" s="5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 hidden="1">
      <c r="A39" s="5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 hidden="1">
      <c r="A40" s="5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 ht="14.25" hidden="1" customHeight="1">
      <c r="A41" s="5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 ht="14.25" hidden="1" customHeight="1">
      <c r="A42" s="5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 ht="14.25" hidden="1" customHeight="1">
      <c r="A43" s="5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 hidden="1">
      <c r="A44" s="5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 ht="14.25" hidden="1" customHeight="1">
      <c r="A45" s="5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 ht="14.25" hidden="1" customHeight="1">
      <c r="A46" s="5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 ht="14.25" hidden="1" customHeight="1">
      <c r="A47" s="5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 ht="14.25" hidden="1" customHeight="1">
      <c r="A48" s="5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 ht="14.25" hidden="1" customHeight="1">
      <c r="A49" s="5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 hidden="1">
      <c r="A50" s="5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 hidden="1">
      <c r="A51" s="5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5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 hidden="1">
      <c r="A52" s="5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 hidden="1">
      <c r="A53" s="5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 hidden="1">
      <c r="A54" s="5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 hidden="1">
      <c r="A55" s="5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 hidden="1">
      <c r="A56" s="5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 hidden="1">
      <c r="A57" s="5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 hidden="1">
      <c r="A58" s="5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 hidden="1">
      <c r="A59" s="5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 hidden="1">
      <c r="A60" s="5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 hidden="1">
      <c r="A61" s="5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 hidden="1">
      <c r="A62" s="5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 hidden="1">
      <c r="A63" s="5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 hidden="1">
      <c r="A64" s="5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 hidden="1">
      <c r="A65" s="5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 hidden="1">
      <c r="A66" s="5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 hidden="1">
      <c r="A67" s="5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 hidden="1">
      <c r="A68" s="5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 hidden="1">
      <c r="A69" s="5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5">
        <v>41617.468668981484</v>
      </c>
      <c r="K69" s="5">
        <v>41617.809791666667</v>
      </c>
      <c r="L69">
        <v>20005</v>
      </c>
      <c r="M69">
        <v>1</v>
      </c>
      <c r="N69" s="5">
        <v>41617.468668981484</v>
      </c>
      <c r="O69" s="5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 hidden="1">
      <c r="A70" s="5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5">
        <v>41617.468668981484</v>
      </c>
      <c r="K70" s="5">
        <v>41617.809791666667</v>
      </c>
      <c r="L70">
        <v>20005</v>
      </c>
      <c r="M70">
        <v>1</v>
      </c>
      <c r="N70" s="5">
        <v>41617.468668981484</v>
      </c>
      <c r="O70" s="5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 hidden="1">
      <c r="A71" s="5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5">
        <v>41587.391111111108</v>
      </c>
      <c r="K71" s="5">
        <v>41587.564456018517</v>
      </c>
      <c r="L71">
        <v>10639</v>
      </c>
      <c r="M71">
        <v>1</v>
      </c>
      <c r="N71" s="5">
        <v>41587.391111111108</v>
      </c>
      <c r="O71" s="5">
        <v>41587.564456018517</v>
      </c>
      <c r="P71">
        <v>2</v>
      </c>
      <c r="Q71">
        <v>9158</v>
      </c>
    </row>
    <row r="72" spans="1:20" hidden="1">
      <c r="A72" s="5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 hidden="1">
      <c r="A73" s="5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 hidden="1">
      <c r="A74" s="5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 hidden="1">
      <c r="A75" s="5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 hidden="1">
      <c r="A76" s="5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5">
        <v>41463.351481481484</v>
      </c>
      <c r="K76" s="5">
        <v>41463.534907407404</v>
      </c>
      <c r="L76">
        <v>4204</v>
      </c>
      <c r="M76">
        <v>4</v>
      </c>
      <c r="N76" s="5">
        <v>41463.351481481484</v>
      </c>
      <c r="O76" s="5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 hidden="1">
      <c r="A77" s="5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 hidden="1">
      <c r="A78" s="5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 hidden="1">
      <c r="A79" s="5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5">
        <v>41524.655092592591</v>
      </c>
      <c r="K79" s="5">
        <v>41524.796527777777</v>
      </c>
      <c r="L79">
        <v>9034</v>
      </c>
      <c r="M79">
        <v>1</v>
      </c>
      <c r="N79" s="5">
        <v>41524.655092592591</v>
      </c>
      <c r="O79" s="5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 hidden="1">
      <c r="A80" s="5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 hidden="1">
      <c r="A81" s="5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5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 hidden="1">
      <c r="A82" s="5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5">
        <v>41617.468668981484</v>
      </c>
      <c r="K82" s="5">
        <v>41617.809791666667</v>
      </c>
      <c r="L82">
        <v>20005</v>
      </c>
      <c r="M82">
        <v>1</v>
      </c>
      <c r="N82" s="5">
        <v>41617.468668981484</v>
      </c>
      <c r="O82" s="5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 hidden="1">
      <c r="A83" s="5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5">
        <v>41617.468668981484</v>
      </c>
      <c r="K83" s="5">
        <v>41617.809791666667</v>
      </c>
      <c r="L83">
        <v>20005</v>
      </c>
      <c r="M83">
        <v>1</v>
      </c>
      <c r="N83" s="5">
        <v>41617.468668981484</v>
      </c>
      <c r="O83" s="5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 hidden="1">
      <c r="A84" s="5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5">
        <v>41617.468668981484</v>
      </c>
      <c r="K84" s="5">
        <v>41617.809791666667</v>
      </c>
      <c r="L84">
        <v>20005</v>
      </c>
      <c r="M84">
        <v>1</v>
      </c>
      <c r="N84" s="5">
        <v>41617.468668981484</v>
      </c>
      <c r="O84" s="5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 hidden="1">
      <c r="A85" s="5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5">
        <v>41617.468668981484</v>
      </c>
      <c r="K85" s="5">
        <v>41617.809791666667</v>
      </c>
      <c r="L85">
        <v>20005</v>
      </c>
      <c r="M85">
        <v>1</v>
      </c>
      <c r="N85" s="5">
        <v>41617.468668981484</v>
      </c>
      <c r="O85" s="5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 hidden="1">
      <c r="A86" s="5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5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 hidden="1">
      <c r="A87" s="5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 hidden="1">
      <c r="A88" s="5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 hidden="1">
      <c r="A89" s="5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 hidden="1">
      <c r="A90" s="5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 hidden="1">
      <c r="A91" s="5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 hidden="1">
      <c r="A92" s="5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 hidden="1">
      <c r="A93" s="5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 hidden="1">
      <c r="A94" s="5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 hidden="1">
      <c r="A95" s="5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5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5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5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302</v>
      </c>
      <c r="I98">
        <v>440</v>
      </c>
      <c r="J98" t="s">
        <v>303</v>
      </c>
      <c r="K98" t="s">
        <v>304</v>
      </c>
      <c r="L98">
        <v>80252</v>
      </c>
      <c r="M98">
        <v>3</v>
      </c>
      <c r="N98" t="s">
        <v>303</v>
      </c>
      <c r="O98" t="s">
        <v>304</v>
      </c>
      <c r="P98">
        <v>4</v>
      </c>
      <c r="Q98">
        <v>69552</v>
      </c>
      <c r="T98">
        <v>0</v>
      </c>
    </row>
    <row r="99" spans="1:20">
      <c r="A99" s="5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301</v>
      </c>
      <c r="I99">
        <v>281</v>
      </c>
      <c r="J99" t="s">
        <v>303</v>
      </c>
      <c r="K99" t="s">
        <v>305</v>
      </c>
      <c r="L99">
        <v>61385</v>
      </c>
      <c r="M99">
        <v>3</v>
      </c>
      <c r="N99" t="s">
        <v>303</v>
      </c>
      <c r="O99" t="s">
        <v>306</v>
      </c>
      <c r="P99">
        <v>3</v>
      </c>
      <c r="Q99">
        <v>52317</v>
      </c>
      <c r="T99">
        <v>0</v>
      </c>
    </row>
    <row r="100" spans="1:20">
      <c r="A100" s="5">
        <v>41605.525000000001</v>
      </c>
      <c r="B100" t="s">
        <v>326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325</v>
      </c>
      <c r="I100">
        <v>58</v>
      </c>
      <c r="J100" s="5">
        <v>41497.622337962966</v>
      </c>
      <c r="K100" s="5">
        <v>41497.754548611112</v>
      </c>
      <c r="L100">
        <v>8201</v>
      </c>
      <c r="M100">
        <v>1</v>
      </c>
      <c r="N100" s="5">
        <v>41497.622337962966</v>
      </c>
      <c r="O100" s="5">
        <v>41497.754548611112</v>
      </c>
      <c r="P100">
        <v>2</v>
      </c>
      <c r="Q100">
        <v>7147</v>
      </c>
    </row>
    <row r="101" spans="1:20">
      <c r="A101" s="5">
        <v>41605.529675925929</v>
      </c>
      <c r="B101" t="s">
        <v>327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325</v>
      </c>
      <c r="I101">
        <v>58</v>
      </c>
      <c r="J101" s="5">
        <v>41497.622337962966</v>
      </c>
      <c r="K101" s="5">
        <v>41497.754548611112</v>
      </c>
      <c r="L101">
        <v>8201</v>
      </c>
      <c r="M101">
        <v>1</v>
      </c>
      <c r="N101" s="5">
        <v>41497.622337962966</v>
      </c>
      <c r="O101" s="5">
        <v>41497.754548611112</v>
      </c>
      <c r="P101">
        <v>2</v>
      </c>
      <c r="Q101">
        <v>7147</v>
      </c>
      <c r="R101" t="s">
        <v>328</v>
      </c>
      <c r="T101">
        <v>7</v>
      </c>
    </row>
    <row r="102" spans="1:20">
      <c r="A102" s="5">
        <v>41605.574317129627</v>
      </c>
      <c r="B102" t="s">
        <v>336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335</v>
      </c>
      <c r="I102">
        <v>47</v>
      </c>
      <c r="J102" s="5">
        <v>41615.364629629628</v>
      </c>
      <c r="K102" s="5">
        <v>41615.633796296293</v>
      </c>
      <c r="L102">
        <v>17681</v>
      </c>
      <c r="M102">
        <v>1</v>
      </c>
      <c r="N102" s="5">
        <v>41615.364629629628</v>
      </c>
      <c r="O102" s="5">
        <v>41615.633796296293</v>
      </c>
      <c r="P102">
        <v>2</v>
      </c>
      <c r="Q102">
        <v>14653</v>
      </c>
      <c r="R102" t="s">
        <v>337</v>
      </c>
      <c r="T102">
        <v>7</v>
      </c>
    </row>
    <row r="103" spans="1:20">
      <c r="A103" s="5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325</v>
      </c>
      <c r="I103">
        <v>50</v>
      </c>
      <c r="J103" t="s">
        <v>348</v>
      </c>
      <c r="K103" t="s">
        <v>349</v>
      </c>
      <c r="L103">
        <v>6282</v>
      </c>
      <c r="M103">
        <v>1</v>
      </c>
      <c r="N103" t="s">
        <v>348</v>
      </c>
      <c r="O103" t="s">
        <v>349</v>
      </c>
      <c r="P103">
        <v>2</v>
      </c>
      <c r="Q103">
        <v>5344</v>
      </c>
      <c r="T103">
        <v>0</v>
      </c>
    </row>
    <row r="104" spans="1:20">
      <c r="A104" s="5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351</v>
      </c>
      <c r="I104">
        <v>277</v>
      </c>
      <c r="J104" t="s">
        <v>352</v>
      </c>
      <c r="K104" t="s">
        <v>353</v>
      </c>
      <c r="L104">
        <v>5707</v>
      </c>
      <c r="M104">
        <v>2</v>
      </c>
      <c r="N104" t="s">
        <v>352</v>
      </c>
      <c r="O104" t="s">
        <v>353</v>
      </c>
      <c r="P104">
        <v>2</v>
      </c>
      <c r="Q104">
        <v>5432</v>
      </c>
      <c r="T104">
        <v>0</v>
      </c>
    </row>
    <row r="105" spans="1:20">
      <c r="A105" s="5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350</v>
      </c>
      <c r="I105">
        <v>57</v>
      </c>
      <c r="J105" t="s">
        <v>354</v>
      </c>
      <c r="K105" t="s">
        <v>355</v>
      </c>
      <c r="L105">
        <v>7614</v>
      </c>
      <c r="M105">
        <v>1</v>
      </c>
      <c r="N105" t="s">
        <v>354</v>
      </c>
      <c r="O105" t="s">
        <v>355</v>
      </c>
      <c r="P105">
        <v>2</v>
      </c>
      <c r="Q105">
        <v>6358</v>
      </c>
      <c r="T105">
        <v>0</v>
      </c>
    </row>
    <row r="106" spans="1:20">
      <c r="A106" s="5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5">
        <v>41285.461851851855</v>
      </c>
      <c r="K106" s="5">
        <v>41285.658414351848</v>
      </c>
      <c r="L106">
        <v>12788</v>
      </c>
      <c r="M106">
        <v>1</v>
      </c>
      <c r="N106" s="5">
        <v>41285.461851851855</v>
      </c>
      <c r="O106" s="5">
        <v>41285.658414351848</v>
      </c>
      <c r="P106">
        <v>2</v>
      </c>
      <c r="Q106">
        <v>10770</v>
      </c>
      <c r="T106">
        <v>0</v>
      </c>
    </row>
    <row r="107" spans="1:20">
      <c r="A107" s="5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325</v>
      </c>
      <c r="I107">
        <v>50</v>
      </c>
      <c r="J107" t="s">
        <v>348</v>
      </c>
      <c r="K107" t="s">
        <v>349</v>
      </c>
      <c r="L107">
        <v>6282</v>
      </c>
      <c r="M107">
        <v>1</v>
      </c>
      <c r="N107" t="s">
        <v>348</v>
      </c>
      <c r="O107" t="s">
        <v>349</v>
      </c>
      <c r="P107">
        <v>2</v>
      </c>
      <c r="Q107">
        <v>5344</v>
      </c>
      <c r="T107">
        <v>0</v>
      </c>
    </row>
    <row r="108" spans="1:20">
      <c r="A108" s="5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351</v>
      </c>
      <c r="I108">
        <v>277</v>
      </c>
      <c r="J108" t="s">
        <v>352</v>
      </c>
      <c r="K108" t="s">
        <v>353</v>
      </c>
      <c r="L108">
        <v>5707</v>
      </c>
      <c r="M108">
        <v>2</v>
      </c>
      <c r="N108" t="s">
        <v>352</v>
      </c>
      <c r="O108" t="s">
        <v>353</v>
      </c>
      <c r="P108">
        <v>2</v>
      </c>
      <c r="Q108">
        <v>5432</v>
      </c>
      <c r="T108">
        <v>0</v>
      </c>
    </row>
    <row r="109" spans="1:20">
      <c r="A109" s="5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350</v>
      </c>
      <c r="I109">
        <v>57</v>
      </c>
      <c r="J109" t="s">
        <v>354</v>
      </c>
      <c r="K109" t="s">
        <v>355</v>
      </c>
      <c r="L109">
        <v>7614</v>
      </c>
      <c r="M109">
        <v>1</v>
      </c>
      <c r="N109" t="s">
        <v>354</v>
      </c>
      <c r="O109" t="s">
        <v>355</v>
      </c>
      <c r="P109">
        <v>2</v>
      </c>
      <c r="Q109">
        <v>6358</v>
      </c>
      <c r="T109">
        <v>0</v>
      </c>
    </row>
    <row r="110" spans="1:20">
      <c r="A110" s="5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5">
        <v>41285.461851851855</v>
      </c>
      <c r="K110" s="5">
        <v>41285.658414351848</v>
      </c>
      <c r="L110">
        <v>12788</v>
      </c>
      <c r="M110">
        <v>1</v>
      </c>
      <c r="N110" s="5">
        <v>41285.461851851855</v>
      </c>
      <c r="O110" s="5">
        <v>41285.658414351848</v>
      </c>
      <c r="P110">
        <v>2</v>
      </c>
      <c r="Q110">
        <v>10770</v>
      </c>
      <c r="T110">
        <v>0</v>
      </c>
    </row>
    <row r="111" spans="1:20">
      <c r="A111" s="5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325</v>
      </c>
      <c r="I111">
        <v>50</v>
      </c>
      <c r="J111" t="s">
        <v>348</v>
      </c>
      <c r="K111" t="s">
        <v>349</v>
      </c>
      <c r="L111">
        <v>6282</v>
      </c>
      <c r="M111">
        <v>1</v>
      </c>
      <c r="N111" t="s">
        <v>348</v>
      </c>
      <c r="O111" t="s">
        <v>349</v>
      </c>
      <c r="P111">
        <v>2</v>
      </c>
      <c r="Q111">
        <v>5344</v>
      </c>
      <c r="T111">
        <v>0</v>
      </c>
    </row>
    <row r="112" spans="1:20">
      <c r="A112" s="5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351</v>
      </c>
      <c r="I112">
        <v>277</v>
      </c>
      <c r="J112" t="s">
        <v>352</v>
      </c>
      <c r="K112" t="s">
        <v>353</v>
      </c>
      <c r="L112">
        <v>5707</v>
      </c>
      <c r="M112">
        <v>2</v>
      </c>
      <c r="N112" t="s">
        <v>352</v>
      </c>
      <c r="O112" t="s">
        <v>353</v>
      </c>
      <c r="P112">
        <v>2</v>
      </c>
      <c r="Q112">
        <v>5432</v>
      </c>
      <c r="T112">
        <v>0</v>
      </c>
    </row>
    <row r="113" spans="1:20">
      <c r="A113" s="5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325</v>
      </c>
      <c r="I113">
        <v>50</v>
      </c>
      <c r="J113" t="s">
        <v>348</v>
      </c>
      <c r="K113" t="s">
        <v>349</v>
      </c>
      <c r="L113">
        <v>6282</v>
      </c>
      <c r="M113">
        <v>1</v>
      </c>
      <c r="N113" t="s">
        <v>348</v>
      </c>
      <c r="O113" t="s">
        <v>349</v>
      </c>
      <c r="P113">
        <v>2</v>
      </c>
      <c r="Q113">
        <v>5344</v>
      </c>
      <c r="T113">
        <v>0</v>
      </c>
    </row>
    <row r="114" spans="1:20">
      <c r="A114" s="5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325</v>
      </c>
      <c r="I114">
        <v>50</v>
      </c>
      <c r="J114" t="s">
        <v>348</v>
      </c>
      <c r="K114" t="s">
        <v>349</v>
      </c>
      <c r="L114">
        <v>6282</v>
      </c>
      <c r="M114">
        <v>1</v>
      </c>
      <c r="N114" t="s">
        <v>348</v>
      </c>
      <c r="O114" t="s">
        <v>349</v>
      </c>
      <c r="P114">
        <v>2</v>
      </c>
      <c r="Q114">
        <v>5344</v>
      </c>
      <c r="T114">
        <v>0</v>
      </c>
    </row>
    <row r="115" spans="1:20">
      <c r="A115" s="5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325</v>
      </c>
      <c r="I115">
        <v>50</v>
      </c>
      <c r="J115" t="s">
        <v>348</v>
      </c>
      <c r="K115" t="s">
        <v>349</v>
      </c>
      <c r="L115">
        <v>6282</v>
      </c>
      <c r="M115">
        <v>1</v>
      </c>
      <c r="N115" t="s">
        <v>348</v>
      </c>
      <c r="O115" t="s">
        <v>349</v>
      </c>
      <c r="P115">
        <v>2</v>
      </c>
      <c r="Q115">
        <v>5344</v>
      </c>
      <c r="T115">
        <v>0</v>
      </c>
    </row>
    <row r="116" spans="1:20">
      <c r="A116" s="5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325</v>
      </c>
      <c r="I116">
        <v>50</v>
      </c>
      <c r="J116" t="s">
        <v>348</v>
      </c>
      <c r="K116" t="s">
        <v>349</v>
      </c>
      <c r="L116">
        <v>6282</v>
      </c>
      <c r="M116">
        <v>1</v>
      </c>
      <c r="N116" t="s">
        <v>348</v>
      </c>
      <c r="O116" t="s">
        <v>349</v>
      </c>
      <c r="P116">
        <v>2</v>
      </c>
      <c r="Q116">
        <v>5344</v>
      </c>
    </row>
    <row r="117" spans="1:20">
      <c r="A117" s="5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325</v>
      </c>
      <c r="I117">
        <v>50</v>
      </c>
      <c r="J117" t="s">
        <v>348</v>
      </c>
      <c r="K117" t="s">
        <v>349</v>
      </c>
      <c r="L117">
        <v>6282</v>
      </c>
      <c r="M117">
        <v>1</v>
      </c>
      <c r="N117" t="s">
        <v>348</v>
      </c>
      <c r="O117" t="s">
        <v>349</v>
      </c>
      <c r="P117">
        <v>2</v>
      </c>
      <c r="Q117">
        <v>5344</v>
      </c>
    </row>
    <row r="118" spans="1:20">
      <c r="A118" s="5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325</v>
      </c>
      <c r="I118">
        <v>50</v>
      </c>
      <c r="J118" t="s">
        <v>348</v>
      </c>
      <c r="K118" t="s">
        <v>349</v>
      </c>
      <c r="L118">
        <v>6282</v>
      </c>
      <c r="M118">
        <v>1</v>
      </c>
      <c r="N118" t="s">
        <v>348</v>
      </c>
      <c r="O118" t="s">
        <v>349</v>
      </c>
      <c r="P118">
        <v>2</v>
      </c>
      <c r="Q118">
        <v>5344</v>
      </c>
      <c r="R118" t="s">
        <v>356</v>
      </c>
      <c r="T118">
        <v>7</v>
      </c>
    </row>
    <row r="119" spans="1:20">
      <c r="A119" s="5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325</v>
      </c>
      <c r="I119">
        <v>50</v>
      </c>
      <c r="J119" t="s">
        <v>348</v>
      </c>
      <c r="K119" t="s">
        <v>349</v>
      </c>
      <c r="L119">
        <v>6282</v>
      </c>
      <c r="M119">
        <v>1</v>
      </c>
      <c r="N119" t="s">
        <v>348</v>
      </c>
      <c r="O119" t="s">
        <v>349</v>
      </c>
      <c r="P119">
        <v>2</v>
      </c>
      <c r="Q119">
        <v>5344</v>
      </c>
      <c r="R119" t="s">
        <v>356</v>
      </c>
      <c r="T119">
        <v>7</v>
      </c>
    </row>
    <row r="120" spans="1:20">
      <c r="A120" s="5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351</v>
      </c>
      <c r="I120">
        <v>277</v>
      </c>
      <c r="J120" t="s">
        <v>352</v>
      </c>
      <c r="K120" t="s">
        <v>353</v>
      </c>
      <c r="L120">
        <v>5707</v>
      </c>
      <c r="M120">
        <v>2</v>
      </c>
      <c r="N120" t="s">
        <v>352</v>
      </c>
      <c r="O120" t="s">
        <v>353</v>
      </c>
      <c r="P120">
        <v>2</v>
      </c>
      <c r="Q120">
        <v>5432</v>
      </c>
      <c r="R120" t="s">
        <v>357</v>
      </c>
      <c r="T120">
        <v>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14" sqref="B12:C14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L4"/>
  <sheetViews>
    <sheetView workbookViewId="0">
      <selection activeCell="C11" sqref="C11"/>
    </sheetView>
  </sheetViews>
  <sheetFormatPr defaultRowHeight="14.25"/>
  <cols>
    <col min="2" max="2" width="62" bestFit="1" customWidth="1"/>
  </cols>
  <sheetData>
    <row r="1" spans="1:12">
      <c r="A1" t="s">
        <v>300</v>
      </c>
      <c r="B1" t="s">
        <v>344</v>
      </c>
      <c r="C1" t="b">
        <v>1</v>
      </c>
      <c r="L1">
        <v>5</v>
      </c>
    </row>
    <row r="2" spans="1:12">
      <c r="A2" t="s">
        <v>300</v>
      </c>
      <c r="B2" t="s">
        <v>345</v>
      </c>
      <c r="C2" t="b">
        <v>1</v>
      </c>
    </row>
    <row r="3" spans="1:12">
      <c r="A3" t="s">
        <v>300</v>
      </c>
      <c r="B3" t="s">
        <v>346</v>
      </c>
      <c r="C3" t="b">
        <v>1</v>
      </c>
    </row>
    <row r="4" spans="1:12">
      <c r="A4" t="s">
        <v>300</v>
      </c>
      <c r="B4" t="s">
        <v>347</v>
      </c>
      <c r="C4" t="b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23"/>
  <sheetViews>
    <sheetView tabSelected="1" topLeftCell="C1" workbookViewId="0">
      <selection activeCell="D27" sqref="D27"/>
    </sheetView>
  </sheetViews>
  <sheetFormatPr defaultRowHeight="14.25"/>
  <cols>
    <col min="1" max="2" width="0" hidden="1" customWidth="1"/>
    <col min="3" max="3" width="36" customWidth="1"/>
    <col min="4" max="4" width="41.25" style="22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7"/>
    </row>
    <row r="4" spans="3:9" ht="18.75" thickBot="1">
      <c r="C4" s="19" t="s">
        <v>307</v>
      </c>
      <c r="D4" s="20" t="s">
        <v>322</v>
      </c>
      <c r="E4" s="23" t="s">
        <v>308</v>
      </c>
    </row>
    <row r="5" spans="3:9" ht="18">
      <c r="C5" s="19" t="s">
        <v>309</v>
      </c>
      <c r="D5" s="20" t="s">
        <v>323</v>
      </c>
      <c r="E5" s="20">
        <v>8</v>
      </c>
      <c r="G5" s="26" t="s">
        <v>316</v>
      </c>
      <c r="H5" s="27" t="s">
        <v>317</v>
      </c>
      <c r="I5" s="26"/>
    </row>
    <row r="6" spans="3:9" ht="18.75" thickBot="1">
      <c r="C6" s="19" t="s">
        <v>310</v>
      </c>
      <c r="D6" s="20" t="s">
        <v>318</v>
      </c>
      <c r="E6" s="21">
        <v>7</v>
      </c>
      <c r="G6" s="24">
        <v>4</v>
      </c>
      <c r="H6" s="25">
        <v>5</v>
      </c>
      <c r="I6" s="24"/>
    </row>
    <row r="7" spans="3:9" ht="18">
      <c r="C7" s="19" t="s">
        <v>311</v>
      </c>
      <c r="D7" s="20" t="s">
        <v>319</v>
      </c>
      <c r="E7" s="21">
        <v>12</v>
      </c>
    </row>
    <row r="8" spans="3:9" ht="18">
      <c r="C8" s="19" t="s">
        <v>312</v>
      </c>
      <c r="D8" s="20">
        <v>10</v>
      </c>
      <c r="E8" s="20">
        <v>14</v>
      </c>
    </row>
    <row r="9" spans="3:9" ht="18">
      <c r="C9" s="19" t="s">
        <v>313</v>
      </c>
      <c r="D9" s="20">
        <v>300</v>
      </c>
      <c r="E9" s="18"/>
    </row>
    <row r="10" spans="3:9" ht="18">
      <c r="C10" s="19" t="s">
        <v>314</v>
      </c>
      <c r="D10" s="20">
        <v>10</v>
      </c>
      <c r="E10" s="18"/>
    </row>
    <row r="11" spans="3:9" ht="18">
      <c r="C11" s="19" t="s">
        <v>315</v>
      </c>
      <c r="D11" s="20" t="b">
        <v>0</v>
      </c>
      <c r="E11" s="18"/>
    </row>
    <row r="12" spans="3:9">
      <c r="C12" s="3"/>
      <c r="D12" s="20"/>
      <c r="E12" s="18"/>
    </row>
    <row r="13" spans="3:9">
      <c r="C13" s="3"/>
      <c r="D13" s="20"/>
      <c r="E13" s="18"/>
    </row>
    <row r="14" spans="3:9">
      <c r="C14" s="3"/>
      <c r="D14" s="20"/>
      <c r="E14" s="18"/>
    </row>
    <row r="15" spans="3:9">
      <c r="C15" s="3"/>
      <c r="D15" s="20"/>
      <c r="E15" s="18"/>
    </row>
    <row r="23" spans="3:3">
      <c r="C23">
        <v>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2013-11-27T14:43:49Z</dcterms:modified>
</cp:coreProperties>
</file>